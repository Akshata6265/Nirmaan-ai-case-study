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Rubrics" sheetId="1" state="visible" r:id="rId1"/>
    <sheet xmlns:r="http://schemas.openxmlformats.org/officeDocument/2006/relationships" name="Rubric" sheetId="2" state="visible" r:id="rId2"/>
    <sheet xmlns:r="http://schemas.openxmlformats.org/officeDocument/2006/relationships" name="Transcript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b val="1"/>
      <color theme="7" tint="-0.249977111117893"/>
      <sz val="11"/>
      <scheme val="minor"/>
    </font>
    <font>
      <name val="Aptos Narrow"/>
      <family val="2"/>
      <color theme="1"/>
      <sz val="11"/>
      <u val="single"/>
      <scheme val="minor"/>
    </font>
    <font>
      <name val="Aptos Narrow"/>
      <family val="2"/>
      <b val="1"/>
      <color theme="7" tint="-0.499984740745262"/>
      <sz val="11"/>
      <scheme val="minor"/>
    </font>
    <font>
      <name val="Aptos Narrow"/>
      <family val="2"/>
      <b val="1"/>
      <color theme="0"/>
      <sz val="16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7" tint="-0.49998474074526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indexed="64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1" tint="0.049989318521683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1" tint="0.0499893185216834"/>
      </left>
      <right style="thin">
        <color theme="0" tint="-0.3499862666707358"/>
      </right>
      <top style="thin">
        <color theme="1" tint="0.049989318521683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1" tint="0.0499893185216834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1" tint="0.0499893185216834"/>
      </right>
      <top style="thin">
        <color theme="1" tint="0.0499893185216834"/>
      </top>
      <bottom style="thin">
        <color theme="0" tint="-0.3499862666707358"/>
      </bottom>
      <diagonal/>
    </border>
    <border>
      <left style="thin">
        <color theme="1" tint="0.0499893185216834"/>
      </left>
      <right style="thin">
        <color theme="0" tint="-0.3499862666707358"/>
      </right>
      <top style="thin">
        <color theme="0" tint="-0.3499862666707358"/>
      </top>
      <bottom style="thin">
        <color theme="1" tint="0.0499893185216834"/>
      </bottom>
      <diagonal/>
    </border>
    <border>
      <left style="thin">
        <color theme="0" tint="-0.3499862666707358"/>
      </left>
      <right style="thin">
        <color theme="1" tint="0.0499893185216834"/>
      </right>
      <top style="thin">
        <color theme="0" tint="-0.3499862666707358"/>
      </top>
      <bottom style="thin">
        <color theme="1" tint="0.0499893185216834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/>
      <bottom/>
      <diagonal/>
    </border>
    <border>
      <left style="thin">
        <color theme="1" tint="0.0499893185216834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1" tint="0.0499893185216834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 style="thin">
        <color theme="1" tint="0.0499893185216834"/>
      </left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1" tint="0.0499893185216834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1" tint="0.0499893185216834"/>
      </right>
      <top style="thin">
        <color theme="1" tint="0.0499893185216834"/>
      </top>
      <bottom/>
      <diagonal/>
    </border>
    <border>
      <left style="thin">
        <color theme="0" tint="-0.3499862666707358"/>
      </left>
      <right style="thin">
        <color theme="1" tint="0.0499893185216834"/>
      </right>
      <top/>
      <bottom/>
      <diagonal/>
    </border>
    <border>
      <left style="thin">
        <color theme="0" tint="-0.3499862666707358"/>
      </left>
      <right style="thin">
        <color theme="1" tint="0.0499893185216834"/>
      </right>
      <top/>
      <bottom style="thin">
        <color theme="1" tint="0.0499893185216834"/>
      </bottom>
      <diagonal/>
    </border>
    <border>
      <left style="thin">
        <color theme="0" tint="-0.3499862666707358"/>
      </left>
      <right style="thin">
        <color theme="1" tint="0.0499893185216834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1" tint="0.0499893185216834"/>
      </left>
      <right/>
      <top/>
      <bottom/>
      <diagonal/>
    </border>
    <border>
      <left style="thin">
        <color theme="1" tint="0.0499893185216834"/>
      </left>
      <right style="thin">
        <color theme="0" tint="-0.3499862666707358"/>
      </right>
      <top/>
      <bottom/>
      <diagonal/>
    </border>
    <border>
      <left style="thin">
        <color theme="1" tint="0.0499893185216834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indexed="64"/>
      </bottom>
      <diagonal/>
    </border>
    <border>
      <left/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 style="thin">
        <color theme="1" tint="0.0499893185216834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1" tint="0.0499893185216834"/>
      </right>
      <top style="thin">
        <color theme="1" tint="0.0499893185216834"/>
      </top>
      <bottom style="thin">
        <color theme="1" tint="0.0499893185216834"/>
      </bottom>
      <diagonal/>
    </border>
    <border>
      <left style="thin">
        <color theme="0" tint="-0.3499862666707358"/>
      </left>
      <right style="thin">
        <color theme="1" tint="0.0499893185216834"/>
      </right>
      <top style="thin">
        <color theme="0" tint="-0.3499862666707358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center" vertical="top" wrapText="1"/>
    </xf>
    <xf numFmtId="0" fontId="2" fillId="0" borderId="6" pivotButton="0" quotePrefix="0" xfId="0"/>
    <xf numFmtId="0" fontId="2" fillId="0" borderId="7" applyAlignment="1" pivotButton="0" quotePrefix="0" xfId="0">
      <alignment horizontal="center"/>
    </xf>
    <xf numFmtId="0" fontId="2" fillId="0" borderId="4" pivotButton="0" quotePrefix="0" xfId="0"/>
    <xf numFmtId="0" fontId="2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0" fillId="0" borderId="9" applyAlignment="1" pivotButton="0" quotePrefix="0" xfId="0">
      <alignment vertical="center" wrapText="1"/>
    </xf>
    <xf numFmtId="0" fontId="0" fillId="0" borderId="9" applyAlignment="1" pivotButton="0" quotePrefix="0" xfId="0">
      <alignment horizontal="center" vertical="center" wrapText="1"/>
    </xf>
    <xf numFmtId="0" fontId="1" fillId="2" borderId="9" applyAlignment="1" pivotButton="0" quotePrefix="0" xfId="0">
      <alignment horizontal="center" vertical="center" wrapText="1"/>
    </xf>
    <xf numFmtId="0" fontId="8" fillId="2" borderId="0" pivotButton="0" quotePrefix="0" xfId="0"/>
    <xf numFmtId="0" fontId="3" fillId="2" borderId="0" pivotButton="0" quotePrefix="0" xfId="0"/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16" fontId="0" fillId="0" borderId="9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 wrapText="1"/>
    </xf>
    <xf numFmtId="0" fontId="0" fillId="0" borderId="14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17" applyAlignment="1" pivotButton="0" quotePrefix="0" xfId="0">
      <alignment vertical="center"/>
    </xf>
    <xf numFmtId="0" fontId="0" fillId="0" borderId="14" applyAlignment="1" pivotButton="0" quotePrefix="0" xfId="0">
      <alignment vertical="center"/>
    </xf>
    <xf numFmtId="0" fontId="0" fillId="0" borderId="8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/>
    </xf>
    <xf numFmtId="0" fontId="2" fillId="0" borderId="21" applyAlignment="1" pivotButton="0" quotePrefix="0" xfId="0">
      <alignment horizontal="left" vertical="center" wrapText="1"/>
    </xf>
    <xf numFmtId="0" fontId="2" fillId="0" borderId="13" applyAlignment="1" pivotButton="0" quotePrefix="0" xfId="0">
      <alignment horizontal="left" vertical="center" wrapText="1"/>
    </xf>
    <xf numFmtId="0" fontId="2" fillId="0" borderId="25" applyAlignment="1" pivotButton="0" quotePrefix="0" xfId="0">
      <alignment horizontal="left" vertical="center" wrapText="1"/>
    </xf>
    <xf numFmtId="0" fontId="2" fillId="0" borderId="27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left" vertical="center" wrapText="1"/>
    </xf>
    <xf numFmtId="0" fontId="2" fillId="0" borderId="31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left" vertical="center" wrapText="1"/>
    </xf>
    <xf numFmtId="0" fontId="0" fillId="0" borderId="23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left" vertical="center" wrapText="1"/>
    </xf>
    <xf numFmtId="0" fontId="0" fillId="0" borderId="17" applyAlignment="1" pivotButton="0" quotePrefix="0" xfId="0">
      <alignment vertical="center" wrapText="1"/>
    </xf>
    <xf numFmtId="0" fontId="0" fillId="0" borderId="9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/>
    </xf>
    <xf numFmtId="0" fontId="0" fillId="0" borderId="14" applyAlignment="1" pivotButton="0" quotePrefix="0" xfId="0">
      <alignment horizontal="left" vertical="center" wrapText="1"/>
    </xf>
    <xf numFmtId="0" fontId="0" fillId="0" borderId="26" applyAlignment="1" pivotButton="0" quotePrefix="0" xfId="0">
      <alignment horizontal="left" vertical="center" wrapText="1"/>
    </xf>
    <xf numFmtId="0" fontId="0" fillId="0" borderId="27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left" vertical="center" wrapText="1"/>
    </xf>
    <xf numFmtId="0" fontId="2" fillId="0" borderId="15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center"/>
    </xf>
    <xf numFmtId="0" fontId="1" fillId="2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1" fillId="2" borderId="42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36" pivotButton="0" quotePrefix="0" xfId="0"/>
    <xf numFmtId="0" fontId="0" fillId="0" borderId="45" pivotButton="0" quotePrefix="0" xfId="0"/>
    <xf numFmtId="0" fontId="0" fillId="0" borderId="13" pivotButton="0" quotePrefix="0" xfId="0"/>
    <xf numFmtId="0" fontId="0" fillId="0" borderId="35" pivotButton="0" quotePrefix="0" xfId="0"/>
    <xf numFmtId="0" fontId="0" fillId="0" borderId="29" pivotButton="0" quotePrefix="0" xfId="0"/>
    <xf numFmtId="0" fontId="0" fillId="0" borderId="22" pivotButton="0" quotePrefix="0" xfId="0"/>
    <xf numFmtId="0" fontId="0" fillId="0" borderId="46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5" pivotButton="0" quotePrefix="0" xfId="0"/>
    <xf numFmtId="0" fontId="2" fillId="0" borderId="47" applyAlignment="1" pivotButton="0" quotePrefix="0" xfId="0">
      <alignment horizontal="left" vertical="center" wrapText="1"/>
    </xf>
    <xf numFmtId="0" fontId="0" fillId="0" borderId="31" pivotButton="0" quotePrefix="0" xfId="0"/>
    <xf numFmtId="0" fontId="9" fillId="0" borderId="48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74"/>
  <sheetViews>
    <sheetView showGridLines="0" tabSelected="1" zoomScale="46" zoomScaleNormal="85" workbookViewId="0">
      <selection activeCell="W9" sqref="W9"/>
    </sheetView>
  </sheetViews>
  <sheetFormatPr baseColWidth="8" defaultRowHeight="14.5"/>
  <cols>
    <col width="25.90625" customWidth="1" min="2" max="2"/>
    <col width="38" customWidth="1" min="3" max="3"/>
    <col width="22.453125" customWidth="1" min="4" max="4"/>
    <col width="51.1796875" customWidth="1" min="5" max="5"/>
    <col width="10.26953125" customWidth="1" min="6" max="6"/>
    <col width="13.54296875" customWidth="1" min="8" max="8"/>
  </cols>
  <sheetData>
    <row r="2" ht="21" customHeight="1">
      <c r="B2" s="21" t="inlineStr">
        <is>
          <t>Sample Case study Rubrics test- 1</t>
        </is>
      </c>
      <c r="C2" s="22" t="n"/>
    </row>
    <row r="5">
      <c r="B5" t="inlineStr">
        <is>
          <t xml:space="preserve">Topic </t>
        </is>
      </c>
      <c r="C5" s="2" t="inlineStr">
        <is>
          <t xml:space="preserve">Self introduction </t>
        </is>
      </c>
    </row>
    <row r="8" ht="101" customHeight="1">
      <c r="B8" s="6" t="inlineStr">
        <is>
          <t xml:space="preserve">Text to be Analysed 
</t>
        </is>
      </c>
      <c r="C8" s="66" t="inlineStr">
        <is>
          <t>Hello everyone, myself Muskan, studying in class 8th B section from Christ Public School. 
I am 13 years old. I live with my family. There are 3 people in my family, me, my mother and my father.
One special thing about my family is that they are very kind hearted to everyone and soft spoken. One thing I really enjoy is play, playing cricket and taking wickets.
A fun fact about me is that I see in mirror and talk by myself. One thing people don't know about me is that I once stole a toy from one of my cousin.
 My favorite subject is science because it is very interesting. Through science I can explore the whole world and make the discoveries and improve the lives of others. 
Thank you for listening.</t>
        </is>
      </c>
      <c r="D8" s="71" t="n"/>
      <c r="E8" s="71" t="n"/>
      <c r="F8" s="71" t="n"/>
      <c r="G8" s="71" t="n"/>
      <c r="H8" s="71" t="n"/>
      <c r="I8" s="71" t="n"/>
      <c r="J8" s="71" t="n"/>
      <c r="K8" s="71" t="n"/>
      <c r="L8" s="71" t="n"/>
      <c r="M8" s="72" t="n"/>
    </row>
    <row r="9">
      <c r="B9" s="4" t="n"/>
      <c r="C9" s="11" t="inlineStr">
        <is>
          <t>Word Count</t>
        </is>
      </c>
      <c r="D9" s="12">
        <f>COUNTA(_xlfn.TEXTSPLIT(TRIM(C8)," "))</f>
        <v/>
      </c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>
      <c r="C10" s="15" t="inlineStr">
        <is>
          <t>Sentence Count</t>
        </is>
      </c>
      <c r="D10" s="16">
        <f>SUM(LEN(C8)-LEN(SUBSTITUTE(C8,".",""))+LEN(C8)-LEN(SUBSTITUTE(C8,"?",""))+LEN(C8)-LEN(SUBSTITUTE(C8,"!","")))</f>
        <v/>
      </c>
    </row>
    <row r="11">
      <c r="C11" s="13" t="inlineStr">
        <is>
          <t>Duraction in Sec</t>
        </is>
      </c>
      <c r="D11" s="14" t="n">
        <v>52</v>
      </c>
    </row>
    <row r="13">
      <c r="B13" s="9" t="inlineStr">
        <is>
          <t xml:space="preserve">Overall Rubrics </t>
        </is>
      </c>
    </row>
    <row r="14">
      <c r="B14" s="20" t="inlineStr">
        <is>
          <t xml:space="preserve">Creteria </t>
        </is>
      </c>
      <c r="C14" s="20" t="inlineStr">
        <is>
          <t>Metric</t>
        </is>
      </c>
      <c r="D14" s="73" t="inlineStr">
        <is>
          <t xml:space="preserve">Weightage </t>
        </is>
      </c>
      <c r="E14" s="74" t="n"/>
    </row>
    <row r="15">
      <c r="B15" s="67" t="inlineStr">
        <is>
          <t>Content &amp; Structure</t>
        </is>
      </c>
      <c r="C15" s="67" t="inlineStr">
        <is>
          <t>Salutation Level</t>
        </is>
      </c>
      <c r="D15" s="70" t="n">
        <v>5</v>
      </c>
      <c r="E15" s="70">
        <f>SUM(D15:D17)</f>
        <v/>
      </c>
    </row>
    <row r="16">
      <c r="B16" s="75" t="n"/>
      <c r="C16" s="67" t="inlineStr">
        <is>
          <t>Key word Presence (Does this include name, age, class, school, family, hobbies/interests, goals, and unique point)</t>
        </is>
      </c>
      <c r="D16" s="70" t="n">
        <v>30</v>
      </c>
      <c r="E16" s="75" t="n"/>
    </row>
    <row r="17">
      <c r="B17" s="76" t="n"/>
      <c r="C17" s="67" t="inlineStr">
        <is>
          <t>Flow (Is the introduction following the order, Salutation --&gt; Name --&gt; Mandatory details --&gt; Optional Details --&gt; Closing</t>
        </is>
      </c>
      <c r="D17" s="70" t="n">
        <v>5</v>
      </c>
      <c r="E17" s="76" t="n"/>
    </row>
    <row r="18">
      <c r="B18" s="67" t="inlineStr">
        <is>
          <t>Speech Rate</t>
        </is>
      </c>
      <c r="C18" s="67" t="inlineStr">
        <is>
          <t>Speech rate(words/minute)</t>
        </is>
      </c>
      <c r="D18" s="70" t="n">
        <v>10</v>
      </c>
      <c r="E18" s="70">
        <f>SUM(D18:D18)</f>
        <v/>
      </c>
    </row>
    <row r="19">
      <c r="B19" s="67" t="inlineStr">
        <is>
          <t>Language &amp; Grammar</t>
        </is>
      </c>
      <c r="C19" s="67" t="inlineStr">
        <is>
          <t>Grammar errors count using Language Tool</t>
        </is>
      </c>
      <c r="D19" s="70" t="n">
        <v>10</v>
      </c>
      <c r="E19" s="70">
        <f>SUM(D19:D20)</f>
        <v/>
      </c>
    </row>
    <row r="20">
      <c r="B20" s="76" t="n"/>
      <c r="C20" s="67" t="inlineStr">
        <is>
          <t xml:space="preserve">Vocabulary richness (MTLD/TTR) </t>
        </is>
      </c>
      <c r="D20" s="70" t="n">
        <v>10</v>
      </c>
      <c r="E20" s="76" t="n"/>
    </row>
    <row r="21">
      <c r="B21" s="35" t="inlineStr">
        <is>
          <t xml:space="preserve">Clarity </t>
        </is>
      </c>
      <c r="C21" s="67" t="inlineStr">
        <is>
          <t xml:space="preserve">Filler Word Rate </t>
        </is>
      </c>
      <c r="D21" s="70" t="n">
        <v>15</v>
      </c>
      <c r="E21" s="36">
        <f>SUM(D21:D21)</f>
        <v/>
      </c>
    </row>
    <row r="22">
      <c r="B22" s="67" t="inlineStr">
        <is>
          <t>Engagement</t>
        </is>
      </c>
      <c r="C22" s="67" t="inlineStr">
        <is>
          <t>Sentiment/positivity (Transcript-based emotion model)</t>
        </is>
      </c>
      <c r="D22" s="70" t="n">
        <v>15</v>
      </c>
      <c r="E22" s="70" t="n">
        <v>15</v>
      </c>
    </row>
    <row r="23">
      <c r="E23" s="1">
        <f>SUM(E15:E22)</f>
        <v/>
      </c>
    </row>
    <row r="26" ht="42" customHeight="1">
      <c r="B26" s="20" t="inlineStr">
        <is>
          <t xml:space="preserve">Creteria </t>
        </is>
      </c>
      <c r="C26" s="20" t="inlineStr">
        <is>
          <t>Metric</t>
        </is>
      </c>
      <c r="D26" s="20" t="inlineStr">
        <is>
          <t xml:space="preserve">Scoring creteria </t>
        </is>
      </c>
      <c r="E26" s="20" t="inlineStr">
        <is>
          <t xml:space="preserve">Key Words </t>
        </is>
      </c>
      <c r="F26" s="20" t="inlineStr">
        <is>
          <t xml:space="preserve">Score Attributed </t>
        </is>
      </c>
      <c r="G26" s="20" t="inlineStr">
        <is>
          <t xml:space="preserve">Total score </t>
        </is>
      </c>
      <c r="H26" s="20" t="inlineStr">
        <is>
          <t xml:space="preserve">Sample data score </t>
        </is>
      </c>
    </row>
    <row r="27">
      <c r="B27" s="63" t="inlineStr">
        <is>
          <t>Content &amp; Structure</t>
        </is>
      </c>
      <c r="C27" s="59" t="inlineStr">
        <is>
          <t>Salutation Level ( based the type of saluation provided give the Score)</t>
        </is>
      </c>
      <c r="D27" s="47" t="inlineStr">
        <is>
          <t>No Salulation</t>
        </is>
      </c>
      <c r="E27" s="47" t="inlineStr">
        <is>
          <t>-</t>
        </is>
      </c>
      <c r="F27" s="50" t="n">
        <v>0</v>
      </c>
      <c r="G27" s="50" t="n">
        <v>5</v>
      </c>
      <c r="H27" s="50" t="n">
        <v>4</v>
      </c>
    </row>
    <row r="28">
      <c r="B28" s="77" t="n"/>
      <c r="C28" s="77" t="n"/>
      <c r="D28" s="47" t="inlineStr">
        <is>
          <t xml:space="preserve">Normal </t>
        </is>
      </c>
      <c r="E28" s="47" t="inlineStr">
        <is>
          <t xml:space="preserve">Hi, Hello </t>
        </is>
      </c>
      <c r="F28" s="50" t="n">
        <v>2</v>
      </c>
      <c r="G28" s="77" t="n"/>
      <c r="H28" s="77" t="n"/>
    </row>
    <row r="29" ht="29" customHeight="1">
      <c r="B29" s="77" t="n"/>
      <c r="C29" s="77" t="n"/>
      <c r="D29" s="47" t="inlineStr">
        <is>
          <t xml:space="preserve">Good </t>
        </is>
      </c>
      <c r="E29" s="47" t="inlineStr">
        <is>
          <t>Good Morning, Good Afternoon, Good Evening, Good Day, Hello everyone</t>
        </is>
      </c>
      <c r="F29" s="50" t="n">
        <v>4</v>
      </c>
      <c r="G29" s="77" t="n"/>
      <c r="H29" s="77" t="n"/>
    </row>
    <row r="30">
      <c r="B30" s="77" t="n"/>
      <c r="C30" s="78" t="n"/>
      <c r="D30" s="48" t="inlineStr">
        <is>
          <t xml:space="preserve">Excellent </t>
        </is>
      </c>
      <c r="E30" s="48" t="inlineStr">
        <is>
          <t>If it includes: " I am excited to introduce/ Feeling great"</t>
        </is>
      </c>
      <c r="F30" s="51" t="n">
        <v>5</v>
      </c>
      <c r="G30" s="78" t="n"/>
      <c r="H30" s="78" t="n"/>
    </row>
    <row r="31" ht="72.5" customHeight="1">
      <c r="B31" s="77" t="n"/>
      <c r="C31" s="43" t="inlineStr">
        <is>
          <t xml:space="preserve">Key word Presence 
(Does the text include name, age, class, school, family, hobbies/interests, goals, and unique point) and give point accordingly </t>
        </is>
      </c>
      <c r="D31" s="46" t="inlineStr">
        <is>
          <t xml:space="preserve">Must Have (each has score of 4) </t>
        </is>
      </c>
      <c r="E31" s="46" t="inlineStr">
        <is>
          <t xml:space="preserve">Name, 
Age
School/Class, 
Family, 
Hobies/Interest/ what they like to do in Free time. </t>
        </is>
      </c>
      <c r="F31" s="49" t="n">
        <v>20</v>
      </c>
      <c r="G31" s="49" t="n">
        <v>20</v>
      </c>
      <c r="H31" s="55" t="n">
        <v>20</v>
      </c>
    </row>
    <row r="32" ht="72.5" customHeight="1">
      <c r="B32" s="77" t="n"/>
      <c r="C32" s="79" t="n"/>
      <c r="D32" s="48" t="inlineStr">
        <is>
          <t xml:space="preserve">Good to have  (each has score of 2) </t>
        </is>
      </c>
      <c r="E32" s="48" t="inlineStr">
        <is>
          <t>About Family, 
Origin Location ( "I am from/ Parents are from")
Ambition/Goal/Dream
Interesting thing/ fun fact/something unique about them
Strengths or Achivements</t>
        </is>
      </c>
      <c r="F32" s="51" t="n">
        <v>10</v>
      </c>
      <c r="G32" s="51" t="n">
        <v>10</v>
      </c>
      <c r="H32" s="57">
        <f>2+0+0+2+0</f>
        <v/>
      </c>
    </row>
    <row r="33" ht="42" customHeight="1">
      <c r="B33" s="77" t="n"/>
      <c r="C33" s="43" t="inlineStr">
        <is>
          <t>Flow (Is the introduction following the order, Salutation --&gt; Name --&gt; Mandatory details --&gt; Optional Details --&gt; Closing</t>
        </is>
      </c>
      <c r="D33" s="46" t="inlineStr">
        <is>
          <t xml:space="preserve">Order followed </t>
        </is>
      </c>
      <c r="E33" s="46" t="inlineStr">
        <is>
          <t xml:space="preserve">Order : 
&gt;&gt;Salutation 
&gt;&gt; Basic details ( Name, Age, Class/school, Place) 
&gt;&gt;Additional Details ( all good to have) 
&gt;&gt;Closing </t>
        </is>
      </c>
      <c r="F33" s="49" t="n">
        <v>5</v>
      </c>
      <c r="G33" s="49" t="n">
        <v>5</v>
      </c>
      <c r="H33" s="55" t="n">
        <v>5</v>
      </c>
    </row>
    <row r="34" ht="42" customHeight="1">
      <c r="B34" s="78" t="n"/>
      <c r="C34" s="79" t="n"/>
      <c r="D34" s="48" t="inlineStr">
        <is>
          <t xml:space="preserve">Order Not followed </t>
        </is>
      </c>
      <c r="E34" s="78" t="n"/>
      <c r="F34" s="51" t="n">
        <v>0</v>
      </c>
      <c r="G34" s="78" t="n"/>
      <c r="H34" s="80" t="n"/>
    </row>
    <row r="35">
      <c r="B35" s="37" t="inlineStr">
        <is>
          <t>Speech Rate</t>
        </is>
      </c>
      <c r="C35" s="43" t="inlineStr">
        <is>
          <t>Speech rate(words/minute) or WPM</t>
        </is>
      </c>
      <c r="D35" s="46" t="inlineStr">
        <is>
          <t xml:space="preserve">Too Fast </t>
        </is>
      </c>
      <c r="E35" s="46" t="inlineStr">
        <is>
          <t>&gt;161 WPM</t>
        </is>
      </c>
      <c r="F35" s="49" t="n">
        <v>2</v>
      </c>
      <c r="G35" s="55" t="n">
        <v>10</v>
      </c>
      <c r="H35" s="58" t="n">
        <v>10</v>
      </c>
    </row>
    <row r="36">
      <c r="B36" s="81" t="n"/>
      <c r="C36" s="82" t="n"/>
      <c r="D36" s="47" t="inlineStr">
        <is>
          <t xml:space="preserve">Fast </t>
        </is>
      </c>
      <c r="E36" s="47" t="inlineStr">
        <is>
          <t xml:space="preserve"> 141 -160 WPM</t>
        </is>
      </c>
      <c r="F36" s="50" t="n">
        <v>6</v>
      </c>
      <c r="G36" s="83" t="n"/>
      <c r="H36" s="84" t="n"/>
    </row>
    <row r="37">
      <c r="B37" s="81" t="n"/>
      <c r="C37" s="82" t="n"/>
      <c r="D37" s="47" t="inlineStr">
        <is>
          <t xml:space="preserve">Ideal </t>
        </is>
      </c>
      <c r="E37" s="47" t="inlineStr">
        <is>
          <t xml:space="preserve"> 111 -140 WPM</t>
        </is>
      </c>
      <c r="F37" s="50" t="n">
        <v>10</v>
      </c>
      <c r="G37" s="83" t="n"/>
      <c r="H37" s="84" t="n"/>
    </row>
    <row r="38">
      <c r="B38" s="81" t="n"/>
      <c r="C38" s="82" t="n"/>
      <c r="D38" s="47" t="inlineStr">
        <is>
          <t>Slow</t>
        </is>
      </c>
      <c r="E38" s="47" t="inlineStr">
        <is>
          <t>81 -110 WPM</t>
        </is>
      </c>
      <c r="F38" s="50" t="n">
        <v>6</v>
      </c>
      <c r="G38" s="83" t="n"/>
      <c r="H38" s="84" t="n"/>
    </row>
    <row r="39">
      <c r="B39" s="81" t="n"/>
      <c r="C39" s="79" t="n"/>
      <c r="D39" s="23" t="inlineStr">
        <is>
          <t xml:space="preserve">Too slow </t>
        </is>
      </c>
      <c r="E39" s="28" t="inlineStr">
        <is>
          <t>&lt; 80 WPM</t>
        </is>
      </c>
      <c r="F39" s="24" t="n">
        <v>2</v>
      </c>
      <c r="G39" s="80" t="n"/>
      <c r="H39" s="84" t="n"/>
      <c r="I39" s="17" t="n"/>
    </row>
    <row r="40">
      <c r="B40" s="64" t="inlineStr">
        <is>
          <t>Language &amp; Grammar</t>
        </is>
      </c>
      <c r="C40" s="43" t="inlineStr">
        <is>
          <t xml:space="preserve">Grammar errors count using Language Tool
Use Python Language tool can be used to identify the errors </t>
        </is>
      </c>
      <c r="D40" s="46" t="inlineStr">
        <is>
          <t>Grammer Score =1−min(errors per 100 words​/10,1)</t>
        </is>
      </c>
      <c r="E40" s="46" t="inlineStr">
        <is>
          <t>&gt;0.9</t>
        </is>
      </c>
      <c r="F40" s="49" t="n">
        <v>10</v>
      </c>
      <c r="G40" s="49" t="n">
        <v>10</v>
      </c>
      <c r="H40" s="85" t="n">
        <v>10</v>
      </c>
    </row>
    <row r="41">
      <c r="B41" s="81" t="n"/>
      <c r="C41" s="82" t="n"/>
      <c r="D41" s="77" t="n"/>
      <c r="E41" s="47" t="inlineStr">
        <is>
          <t>0.7 to 0.89</t>
        </is>
      </c>
      <c r="F41" s="50" t="n">
        <v>8</v>
      </c>
      <c r="G41" s="77" t="n"/>
      <c r="H41" s="83" t="n"/>
    </row>
    <row r="42">
      <c r="B42" s="81" t="n"/>
      <c r="C42" s="82" t="n"/>
      <c r="D42" s="77" t="n"/>
      <c r="E42" s="47" t="inlineStr">
        <is>
          <t>0.5 to 0.69</t>
        </is>
      </c>
      <c r="F42" s="50" t="n">
        <v>6</v>
      </c>
      <c r="G42" s="77" t="n"/>
      <c r="H42" s="83" t="n"/>
    </row>
    <row r="43">
      <c r="B43" s="81" t="n"/>
      <c r="C43" s="82" t="n"/>
      <c r="D43" s="77" t="n"/>
      <c r="E43" s="47" t="inlineStr">
        <is>
          <t>0.3 to 0.49</t>
        </is>
      </c>
      <c r="F43" s="50" t="n">
        <v>4</v>
      </c>
      <c r="G43" s="77" t="n"/>
      <c r="H43" s="83" t="n"/>
    </row>
    <row r="44">
      <c r="B44" s="81" t="n"/>
      <c r="C44" s="79" t="n"/>
      <c r="D44" s="78" t="n"/>
      <c r="E44" s="48" t="inlineStr">
        <is>
          <t>&lt;0.3</t>
        </is>
      </c>
      <c r="F44" s="51" t="n">
        <v>2</v>
      </c>
      <c r="G44" s="78" t="n"/>
      <c r="H44" s="86" t="n"/>
    </row>
    <row r="45" ht="53" customHeight="1">
      <c r="B45" s="81" t="n"/>
      <c r="C45" s="43" t="inlineStr">
        <is>
          <t xml:space="preserve">Vocabulary richness 
Option 1 : TTR ( Type token error 0, easy and simple)
Option 2 : MTLD using python Libraries  (Measure of Textual Lexical Diversity)
Any option is preferable. </t>
        </is>
      </c>
      <c r="D45" s="46" t="inlineStr">
        <is>
          <t>Currently TTR is used 
TTR =Distinct words ÷ total words</t>
        </is>
      </c>
      <c r="E45" s="33" t="inlineStr">
        <is>
          <t>0.9–1.0</t>
        </is>
      </c>
      <c r="F45" s="49" t="n">
        <v>10</v>
      </c>
      <c r="G45" s="49" t="n">
        <v>10</v>
      </c>
      <c r="H45" s="55" t="n">
        <v>6</v>
      </c>
    </row>
    <row r="46">
      <c r="B46" s="81" t="n"/>
      <c r="C46" s="82" t="n"/>
      <c r="D46" s="77" t="n"/>
      <c r="E46" s="47" t="inlineStr">
        <is>
          <t>0.7–0.89</t>
        </is>
      </c>
      <c r="F46" s="50" t="n">
        <v>8</v>
      </c>
      <c r="G46" s="77" t="n"/>
      <c r="H46" s="83" t="n"/>
    </row>
    <row r="47">
      <c r="B47" s="81" t="n"/>
      <c r="C47" s="82" t="n"/>
      <c r="D47" s="77" t="n"/>
      <c r="E47" s="47" t="inlineStr">
        <is>
          <t>0.5–0.69</t>
        </is>
      </c>
      <c r="F47" s="50" t="n">
        <v>6</v>
      </c>
      <c r="G47" s="77" t="n"/>
      <c r="H47" s="83" t="n"/>
    </row>
    <row r="48">
      <c r="B48" s="81" t="n"/>
      <c r="C48" s="82" t="n"/>
      <c r="D48" s="77" t="n"/>
      <c r="E48" s="47" t="inlineStr">
        <is>
          <t>0.3–0.49</t>
        </is>
      </c>
      <c r="F48" s="50" t="n">
        <v>4</v>
      </c>
      <c r="G48" s="77" t="n"/>
      <c r="H48" s="83" t="n"/>
    </row>
    <row r="49">
      <c r="B49" s="87" t="n"/>
      <c r="C49" s="79" t="n"/>
      <c r="D49" s="78" t="n"/>
      <c r="E49" s="34" t="inlineStr">
        <is>
          <t>0–0.29</t>
        </is>
      </c>
      <c r="F49" s="51" t="n">
        <v>2</v>
      </c>
      <c r="G49" s="78" t="n"/>
      <c r="H49" s="80" t="n"/>
    </row>
    <row r="50">
      <c r="B50" s="37" t="inlineStr">
        <is>
          <t xml:space="preserve">Clarity </t>
        </is>
      </c>
      <c r="C50" s="43" t="inlineStr">
        <is>
          <t>Filler Word Rate 
Filler words List (um, uh, like, you know, so, actually, basically, right, i mean, well, kinda, sort of, okay, hmm, ah)
Find the Filler words either using Python Libraries or using keyword search.</t>
        </is>
      </c>
      <c r="D50" s="46" t="inlineStr">
        <is>
          <t>Filler Word Rate = (Number of filler words ÷ Total words) × 100</t>
        </is>
      </c>
      <c r="E50" s="46" t="inlineStr">
        <is>
          <t>0 to 3</t>
        </is>
      </c>
      <c r="F50" s="49" t="n">
        <v>15</v>
      </c>
      <c r="G50" s="49" t="n">
        <v>15</v>
      </c>
      <c r="H50" s="85" t="n">
        <v>15</v>
      </c>
    </row>
    <row r="51">
      <c r="B51" s="81" t="n"/>
      <c r="C51" s="82" t="n"/>
      <c r="D51" s="77" t="n"/>
      <c r="E51" s="25" t="inlineStr">
        <is>
          <t>4 to 6</t>
        </is>
      </c>
      <c r="F51" s="50" t="n">
        <v>12</v>
      </c>
      <c r="G51" s="77" t="n"/>
      <c r="H51" s="83" t="n"/>
    </row>
    <row r="52">
      <c r="B52" s="81" t="n"/>
      <c r="C52" s="82" t="n"/>
      <c r="D52" s="77" t="n"/>
      <c r="E52" s="47" t="inlineStr">
        <is>
          <t>7 to 9</t>
        </is>
      </c>
      <c r="F52" s="50" t="n">
        <v>9</v>
      </c>
      <c r="G52" s="77" t="n"/>
      <c r="H52" s="83" t="n"/>
    </row>
    <row r="53">
      <c r="B53" s="81" t="n"/>
      <c r="C53" s="82" t="n"/>
      <c r="D53" s="77" t="n"/>
      <c r="E53" s="47" t="inlineStr">
        <is>
          <t>10 to 12</t>
        </is>
      </c>
      <c r="F53" s="50" t="n">
        <v>6</v>
      </c>
      <c r="G53" s="77" t="n"/>
      <c r="H53" s="83" t="n"/>
    </row>
    <row r="54" ht="27.5" customHeight="1">
      <c r="B54" s="81" t="n"/>
      <c r="C54" s="79" t="n"/>
      <c r="D54" s="78" t="n"/>
      <c r="E54" s="48" t="inlineStr">
        <is>
          <t xml:space="preserve">13  and above </t>
        </is>
      </c>
      <c r="F54" s="51" t="n">
        <v>3</v>
      </c>
      <c r="G54" s="78" t="n"/>
      <c r="H54" s="86" t="n"/>
    </row>
    <row r="55" ht="84.5" customHeight="1">
      <c r="B55" s="88" t="inlineStr">
        <is>
          <t>Engagement</t>
        </is>
      </c>
      <c r="C55" s="43" t="inlineStr">
        <is>
          <t>Sentiment/positivity (Transcript-based emotion model)
Positive (enthusiastic, confident, grateful)
Neutral (factual, calm)
Negative (disinterested, anxious, dull)
Using any open source  libraries for sentiment analysis like VADER or  spaCy</t>
        </is>
      </c>
      <c r="D55" s="46" t="inlineStr">
        <is>
          <t xml:space="preserve">Currently, we calculate the probability (0 to 1) of positive words only
using VADER </t>
        </is>
      </c>
      <c r="E55" s="46" t="inlineStr">
        <is>
          <t>&gt;=0.9</t>
        </is>
      </c>
      <c r="F55" s="49" t="n">
        <v>15</v>
      </c>
      <c r="G55" s="49" t="n">
        <v>15</v>
      </c>
      <c r="H55" s="85" t="n">
        <v>12</v>
      </c>
    </row>
    <row r="56">
      <c r="B56" s="83" t="n"/>
      <c r="C56" s="82" t="n"/>
      <c r="D56" s="77" t="n"/>
      <c r="E56" s="47" t="inlineStr">
        <is>
          <t>0.7 to 0.89</t>
        </is>
      </c>
      <c r="F56" s="50" t="n">
        <v>12</v>
      </c>
      <c r="G56" s="77" t="n"/>
      <c r="H56" s="83" t="n"/>
    </row>
    <row r="57">
      <c r="B57" s="83" t="n"/>
      <c r="C57" s="82" t="n"/>
      <c r="D57" s="77" t="n"/>
      <c r="E57" s="47" t="inlineStr">
        <is>
          <t>0.5 to 0.69</t>
        </is>
      </c>
      <c r="F57" s="50" t="n">
        <v>9</v>
      </c>
      <c r="G57" s="77" t="n"/>
      <c r="H57" s="83" t="n"/>
    </row>
    <row r="58">
      <c r="B58" s="83" t="n"/>
      <c r="C58" s="82" t="n"/>
      <c r="D58" s="77" t="n"/>
      <c r="E58" s="47" t="inlineStr">
        <is>
          <t>0.3 to 0.49</t>
        </is>
      </c>
      <c r="F58" s="50" t="n">
        <v>6</v>
      </c>
      <c r="G58" s="77" t="n"/>
      <c r="H58" s="83" t="n"/>
    </row>
    <row r="59">
      <c r="B59" s="89" t="n"/>
      <c r="C59" s="79" t="n"/>
      <c r="D59" s="78" t="n"/>
      <c r="E59" s="48" t="inlineStr">
        <is>
          <t>&lt;0.3</t>
        </is>
      </c>
      <c r="F59" s="51" t="n">
        <v>3</v>
      </c>
      <c r="G59" s="78" t="n"/>
      <c r="H59" s="86" t="n"/>
    </row>
    <row r="60">
      <c r="B60" s="3" t="n"/>
      <c r="C60" s="3" t="n"/>
      <c r="D60" s="3" t="n"/>
      <c r="E60" s="3" t="n"/>
      <c r="F60" s="3" t="n"/>
      <c r="G60" s="3">
        <f>SUM(G27:G59)</f>
        <v/>
      </c>
      <c r="H60" s="5">
        <f>SUM(H27:H59)</f>
        <v/>
      </c>
    </row>
    <row r="70">
      <c r="D70" s="4" t="n"/>
      <c r="E70" s="4" t="n"/>
      <c r="F70" s="4" t="n"/>
    </row>
    <row r="71">
      <c r="D71" s="4" t="n"/>
      <c r="E71" s="4" t="n"/>
      <c r="F71" s="4" t="n"/>
    </row>
    <row r="72">
      <c r="D72" s="4" t="n"/>
      <c r="E72" s="4" t="n"/>
      <c r="F72" s="4" t="n"/>
    </row>
    <row r="73">
      <c r="D73" s="4" t="n"/>
      <c r="E73" s="4" t="n"/>
      <c r="F73" s="4" t="n"/>
    </row>
    <row r="74">
      <c r="D74" s="4" t="n"/>
      <c r="E74" s="4" t="n"/>
      <c r="F74" s="4" t="n"/>
    </row>
  </sheetData>
  <mergeCells count="38">
    <mergeCell ref="B40:B49"/>
    <mergeCell ref="C40:C44"/>
    <mergeCell ref="C33:C34"/>
    <mergeCell ref="E33:E34"/>
    <mergeCell ref="G55:G59"/>
    <mergeCell ref="B15:B17"/>
    <mergeCell ref="E19:E20"/>
    <mergeCell ref="B55:B59"/>
    <mergeCell ref="G45:G49"/>
    <mergeCell ref="G35:G39"/>
    <mergeCell ref="D55:D59"/>
    <mergeCell ref="C31:C32"/>
    <mergeCell ref="G50:G54"/>
    <mergeCell ref="G40:G44"/>
    <mergeCell ref="B27:B34"/>
    <mergeCell ref="C27:C30"/>
    <mergeCell ref="B35:B39"/>
    <mergeCell ref="B19:B20"/>
    <mergeCell ref="B50:B54"/>
    <mergeCell ref="D50:D54"/>
    <mergeCell ref="H35:H39"/>
    <mergeCell ref="G33:G34"/>
    <mergeCell ref="H50:H54"/>
    <mergeCell ref="C45:C49"/>
    <mergeCell ref="H27:H30"/>
    <mergeCell ref="D40:D44"/>
    <mergeCell ref="C35:C39"/>
    <mergeCell ref="C8:M8"/>
    <mergeCell ref="H40:H44"/>
    <mergeCell ref="D45:D49"/>
    <mergeCell ref="H33:H34"/>
    <mergeCell ref="H55:H59"/>
    <mergeCell ref="D14:E14"/>
    <mergeCell ref="E15:E17"/>
    <mergeCell ref="C50:C54"/>
    <mergeCell ref="C55:C59"/>
    <mergeCell ref="H45:H49"/>
    <mergeCell ref="G27:G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Criterion</t>
        </is>
      </c>
      <c r="B1" s="90" t="inlineStr">
        <is>
          <t>Description</t>
        </is>
      </c>
      <c r="C1" s="90" t="inlineStr">
        <is>
          <t>Keywords</t>
        </is>
      </c>
      <c r="D1" s="90" t="inlineStr">
        <is>
          <t>Weight</t>
        </is>
      </c>
      <c r="E1" s="90" t="inlineStr">
        <is>
          <t>Min_Words</t>
        </is>
      </c>
      <c r="F1" s="90" t="inlineStr">
        <is>
          <t>Max_Words</t>
        </is>
      </c>
    </row>
    <row r="2">
      <c r="A2" t="inlineStr">
        <is>
          <t>Salutation</t>
        </is>
      </c>
      <c r="B2" t="inlineStr">
        <is>
          <t>Quality of greeting at the beginning</t>
        </is>
      </c>
      <c r="C2" t="inlineStr">
        <is>
          <t>hello,hi,good morning,good afternoon,good evening,good day,excited,introduce,feeling great</t>
        </is>
      </c>
      <c r="D2" t="n">
        <v>5</v>
      </c>
      <c r="E2" t="n">
        <v>1</v>
      </c>
      <c r="F2" t="n">
        <v>20</v>
      </c>
    </row>
    <row r="3">
      <c r="A3" t="inlineStr">
        <is>
          <t>Key Information</t>
        </is>
      </c>
      <c r="B3" t="inlineStr">
        <is>
          <t>Presence of name, age, school, family, hobbies/interests</t>
        </is>
      </c>
      <c r="C3" t="inlineStr">
        <is>
          <t>name,myself,age,years old,class,school,family,mother,father,sister,brother,hobbies,interest,like,enjoy,love,play,favorite</t>
        </is>
      </c>
      <c r="D3" t="n">
        <v>30</v>
      </c>
      <c r="E3" t="n">
        <v>20</v>
      </c>
      <c r="F3" t="n">
        <v>150</v>
      </c>
    </row>
    <row r="4">
      <c r="A4" t="inlineStr">
        <is>
          <t>Flow</t>
        </is>
      </c>
      <c r="B4" t="inlineStr">
        <is>
          <t>Logical order: Salutation → Name → Details → Closing</t>
        </is>
      </c>
      <c r="C4" t="inlineStr">
        <is>
          <t>first,then,also,finally,thank you,thanks</t>
        </is>
      </c>
      <c r="D4" t="n">
        <v>5</v>
      </c>
      <c r="E4" t="n">
        <v>0</v>
      </c>
      <c r="F4" t="n">
        <v>999</v>
      </c>
    </row>
    <row r="5">
      <c r="A5" t="inlineStr">
        <is>
          <t>Speech Rate</t>
        </is>
      </c>
      <c r="B5" t="inlineStr">
        <is>
          <t>Appropriate speaking pace (words per minute)</t>
        </is>
      </c>
      <c r="C5" t="inlineStr"/>
      <c r="D5" t="n">
        <v>10</v>
      </c>
      <c r="E5" t="n">
        <v>0</v>
      </c>
      <c r="F5" t="n">
        <v>999</v>
      </c>
    </row>
    <row r="6">
      <c r="A6" t="inlineStr">
        <is>
          <t>Grammar</t>
        </is>
      </c>
      <c r="B6" t="inlineStr">
        <is>
          <t>Grammar correctness and proper sentence structure</t>
        </is>
      </c>
      <c r="C6" t="inlineStr"/>
      <c r="D6" t="n">
        <v>10</v>
      </c>
      <c r="E6" t="n">
        <v>0</v>
      </c>
      <c r="F6" t="n">
        <v>999</v>
      </c>
    </row>
    <row r="7">
      <c r="A7" t="inlineStr">
        <is>
          <t>Vocabulary</t>
        </is>
      </c>
      <c r="B7" t="inlineStr">
        <is>
          <t>Vocabulary richness and diversity (TTR)</t>
        </is>
      </c>
      <c r="C7" t="inlineStr"/>
      <c r="D7" t="n">
        <v>10</v>
      </c>
      <c r="E7" t="n">
        <v>0</v>
      </c>
      <c r="F7" t="n">
        <v>999</v>
      </c>
    </row>
    <row r="8">
      <c r="A8" t="inlineStr">
        <is>
          <t>Clarity</t>
        </is>
      </c>
      <c r="B8" t="inlineStr">
        <is>
          <t>Clear speech with minimal filler words</t>
        </is>
      </c>
      <c r="C8" t="inlineStr">
        <is>
          <t>um,uh,like,you know,so,actually,basically,right,i mean,well,kinda,sort of,okay,hmm,ah</t>
        </is>
      </c>
      <c r="D8" t="n">
        <v>15</v>
      </c>
      <c r="E8" t="n">
        <v>0</v>
      </c>
      <c r="F8" t="n">
        <v>999</v>
      </c>
    </row>
    <row r="9">
      <c r="A9" t="inlineStr">
        <is>
          <t>Engagement</t>
        </is>
      </c>
      <c r="B9" t="inlineStr">
        <is>
          <t>Positive sentiment, enthusiasm, and confidence</t>
        </is>
      </c>
      <c r="C9" t="inlineStr">
        <is>
          <t>excited,happy,love,enjoy,great,wonderful,amazing,passionate,enthusiastic,interested</t>
        </is>
      </c>
      <c r="D9" t="n">
        <v>15</v>
      </c>
      <c r="E9" t="n">
        <v>0</v>
      </c>
      <c r="F9" t="n">
        <v>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90" t="inlineStr">
        <is>
          <t>ID</t>
        </is>
      </c>
      <c r="B1" s="90" t="inlineStr">
        <is>
          <t>Transcript</t>
        </is>
      </c>
      <c r="C1" s="90" t="inlineStr">
        <is>
          <t>Word_Count</t>
        </is>
      </c>
      <c r="D1" s="90" t="inlineStr">
        <is>
          <t>Expected_Score</t>
        </is>
      </c>
      <c r="E1" s="90" t="inlineStr">
        <is>
          <t>Notes</t>
        </is>
      </c>
    </row>
    <row r="2">
      <c r="A2" t="n">
        <v>1</v>
      </c>
      <c r="B2" t="inlineStr">
        <is>
          <t xml:space="preserve">Text to be Analysed 
</t>
        </is>
      </c>
      <c r="C2" t="n">
        <v>131</v>
      </c>
      <c r="D2" t="n">
        <v>86</v>
      </c>
      <c r="E2" t="inlineStr">
        <is>
          <t>Sample from Nirmaan AI case study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Jayanth Babu</dc:creator>
  <dcterms:created xmlns:dcterms="http://purl.org/dc/terms/" xmlns:xsi="http://www.w3.org/2001/XMLSchema-instance" xsi:type="dcterms:W3CDTF">2025-10-16T17:52:16Z</dcterms:created>
  <dcterms:modified xmlns:dcterms="http://purl.org/dc/terms/" xmlns:xsi="http://www.w3.org/2001/XMLSchema-instance" xsi:type="dcterms:W3CDTF">2025-11-23T14:06:07Z</dcterms:modified>
  <cp:lastModifiedBy>Jayanth Babu</cp:lastModifiedBy>
</cp:coreProperties>
</file>